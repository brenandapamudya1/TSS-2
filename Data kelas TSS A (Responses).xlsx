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<sst xmlns="http://schemas.openxmlformats.org/spreadsheetml/2006/main" count="116" uniqueCount="70">
  <si>
    <t>Timestamp</t>
  </si>
  <si>
    <t>Nama lengkap
Contoh : Ryan Sampling</t>
  </si>
  <si>
    <t>Jenis kelamin
L : Laki
P : Perempuan</t>
  </si>
  <si>
    <t>Jalur masuk ITS
1 : SNBP/SNMPTN
2 : SNBT/SBMPTN
3 : Mandiri/lainnya</t>
  </si>
  <si>
    <t>Asal daerah
1 : Surabaya
2 : Jawa Timur (selain Surabaya)
3 : Pulau Jawa (selain Jawa Timur)
4 : selain Pulau Jawa, sebutkan : ... (Bali, Sumatera, Kalimantan, Sulawesi, dan lainnya)
Contoh :
3 (gunakan angka saja untuk pilihan 1-3)
4, Sumatera (gunakan nama Pulau yang tertera di keterangan)</t>
  </si>
  <si>
    <t>IPS semester lalu (ditulis dengan angka dan titik)
Contoh : 3.67</t>
  </si>
  <si>
    <t>Status tempat tinggal di Surabaya
1 : kos
0 : tidak kos</t>
  </si>
  <si>
    <t>Jumlah HP yang dimiliki (gunakan angka)
Contoh : 1</t>
  </si>
  <si>
    <t>Pengeluaran pulsa/internet perbulan dalam rupiah (gunakan angka saja)
Contoh : 50000</t>
  </si>
  <si>
    <t>var</t>
  </si>
  <si>
    <t>Kendaraan yang digunakan untuk ke kampus
1 : Jalan kaki
2 : Sepeda motor (termasuk diantar)
3 : Kendaraan Umum (termasuk ojol, dll)
4 : Mobil pribadi (termasuk diantar)</t>
  </si>
  <si>
    <t>Pengeluaran untuk keperluan transportasi perbulan dalam rupiah (gunakan angka saja)
Contoh : 50000</t>
  </si>
  <si>
    <t>Maulana Ishaq</t>
  </si>
  <si>
    <t>L</t>
  </si>
  <si>
    <t>avg</t>
  </si>
  <si>
    <t>avg*25%</t>
  </si>
  <si>
    <t>D</t>
  </si>
  <si>
    <t xml:space="preserve">Cahya Abiyu Dzikrulloh </t>
  </si>
  <si>
    <t>2, Jember</t>
  </si>
  <si>
    <t>Bagoes Nugroho Dwi Ariyanto</t>
  </si>
  <si>
    <t>Raihan Maulana Rifqi</t>
  </si>
  <si>
    <t>Alfarel Fajar Ariyanto</t>
  </si>
  <si>
    <t>Nadya Putri Adelia</t>
  </si>
  <si>
    <t>P</t>
  </si>
  <si>
    <t xml:space="preserve">Muhammad Arrizqi Putra Ramadhan </t>
  </si>
  <si>
    <t>Sulawesi</t>
  </si>
  <si>
    <t>Aline Ihsan Anindita</t>
  </si>
  <si>
    <t xml:space="preserve">Hisyam Akmal Zaidan Gunawan </t>
  </si>
  <si>
    <t xml:space="preserve">Indana Zulfa Nuraini </t>
  </si>
  <si>
    <t xml:space="preserve">Indah Desviana Putri </t>
  </si>
  <si>
    <t>4, Jakarta</t>
  </si>
  <si>
    <t>Sendy Maureent Oktaviana Sonora</t>
  </si>
  <si>
    <t>4, Sulawesi</t>
  </si>
  <si>
    <t xml:space="preserve">Shevanya Carmel Joylynn </t>
  </si>
  <si>
    <t>Cecilia Averina Gunawan</t>
  </si>
  <si>
    <t>Ancova Wilcah Diawara Amar</t>
  </si>
  <si>
    <t>Jawa Timur</t>
  </si>
  <si>
    <t>3,50</t>
  </si>
  <si>
    <t>Much. Radhitya Irfansyah</t>
  </si>
  <si>
    <t xml:space="preserve">Alfisyah Fitri Salsabil </t>
  </si>
  <si>
    <t>Azifah Rahma Mufidah</t>
  </si>
  <si>
    <t>Indah Firdausia</t>
  </si>
  <si>
    <t>Jihan Charista Nt.</t>
  </si>
  <si>
    <t>Diah Nandya Putri</t>
  </si>
  <si>
    <t>4, Kalimantan</t>
  </si>
  <si>
    <t>3,4</t>
  </si>
  <si>
    <t>Muhammad Hafidz Muzakki</t>
  </si>
  <si>
    <t>-</t>
  </si>
  <si>
    <t>Frans Mappetua Ambarita</t>
  </si>
  <si>
    <t>Dinda Ramadya</t>
  </si>
  <si>
    <t>Joseph Theodore Nels Indra</t>
  </si>
  <si>
    <t>Nelson Octokumara Rahman</t>
  </si>
  <si>
    <t>Najibah Radhwa Aisyah</t>
  </si>
  <si>
    <t>Nafisah Shalihah Nugroho</t>
  </si>
  <si>
    <t>Rayya Maulidya</t>
  </si>
  <si>
    <t xml:space="preserve">Ibnu Tamyiz Azharudin </t>
  </si>
  <si>
    <t>Athaya Nadhira Fasha</t>
  </si>
  <si>
    <t>Mochamad Jouvan Styawan</t>
  </si>
  <si>
    <t>Azalea Kayyasah</t>
  </si>
  <si>
    <t>Ratih Puspa Wardhani</t>
  </si>
  <si>
    <t>Nabila Adina Zahra</t>
  </si>
  <si>
    <t>Jasmine May</t>
  </si>
  <si>
    <t>Surabaya</t>
  </si>
  <si>
    <t xml:space="preserve">Salsabila Difa Kireina </t>
  </si>
  <si>
    <t>Dwi Sava Febriana Abdullah Putri</t>
  </si>
  <si>
    <t>Muhammad Rizqi Zaydan</t>
  </si>
  <si>
    <t>Dimas Octa Amirullah</t>
  </si>
  <si>
    <t>Brenanda Caesa Pamudya</t>
  </si>
  <si>
    <t>Felda Kineta Asmarawan</t>
  </si>
  <si>
    <t xml:space="preserve">Alinea Aufklarung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</si>
</sst>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2" pivot="0" name="Sheet1-style">
      <tableStyleElement dxfId="2" type="firstRowStripe"/>
      <tableStyleElement dxfId="3" type="secondRowStrip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4" displayName="Form_Responses" name="Form_Responses" id="2">
  <tableColumns count="11">
    <tableColumn name="Timestamp" id="1"/>
    <tableColumn name="Nama lengkap_x000a_Contoh : Ryan Sampling" id="2"/>
    <tableColumn name="Jenis kelamin_x000a_L : Laki_x000a_P : Perempuan" id="3"/>
    <tableColumn name="Jalur masuk ITS_x000a_1 : SNBP/SNMPTN_x000a_2 : SNBT/SBMPTN_x000a_3 : Mandiri/lainnya" id="4"/>
    <tableColumn name="Asal daerah_x000a_1 : Surabaya_x000a_2 : Jawa Timur (selain Surabaya)_x000a_3 : Pulau Jawa (selain Jawa Timur)_x000a_4 : selain Pulau Jawa, sebutkan : ... (Bali, Sumatera, Kalimantan, Sulawesi, dan lainnya)_x000a__x000a_Contoh :_x000a_3 (gunakan angka saja untuk pilihan 1-3)_x000a_4, Sumatera (gunakan nama Pulau yang tertera di keterangan)" id="5"/>
    <tableColumn name="IPS semester lalu (ditulis dengan angka dan titik)_x000a_Contoh : 3.67" id="6"/>
    <tableColumn name="Status tempat tinggal di Surabaya_x000a_1 : kos_x000a_0 : tidak kos" id="7"/>
    <tableColumn name="Jumlah HP yang dimiliki (gunakan angka)_x000a_Contoh : 1" id="8"/>
    <tableColumn name="Pengeluaran pulsa/internet perbulan dalam rupiah (gunakan angka saja)_x000a_Contoh : 50000" id="9"/>
    <tableColumn name="Kendaraan yang digunakan untuk ke kampus_x000a_1 : Jalan kaki_x000a_2 : Sepeda motor (termasuk diantar)_x000a_3 : Kendaraan Umum (termasuk ojol, dll)_x000a_4 : Mobil pribadi (termasuk diantar)" id="10"/>
    <tableColumn name="Pengeluaran untuk keperluan transportasi perbulan dalam rupiah (gunakan angka saja)_x000a_Contoh : 50000" id="11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B2:E4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3" width="18.88"/>
    <col customWidth="1" min="4" max="4" width="19.13"/>
    <col customWidth="1" min="5" max="6" width="37.63"/>
    <col customWidth="1" min="7" max="7" width="29.75"/>
    <col customWidth="1" min="8" max="8" width="35.38"/>
    <col customWidth="1" min="9" max="11" width="37.63"/>
    <col customWidth="1" min="12" max="17" width="18.88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</row>
    <row r="2" ht="22.5" customHeight="1">
      <c r="A2" s="6">
        <v>46280.65512913195</v>
      </c>
      <c r="B2" s="7" t="s">
        <v>12</v>
      </c>
      <c r="C2" s="7" t="s">
        <v>13</v>
      </c>
      <c r="D2" s="7">
        <v>1.0</v>
      </c>
      <c r="E2" s="7">
        <v>2.0</v>
      </c>
      <c r="F2" s="8">
        <v>3.09</v>
      </c>
      <c r="G2" s="7">
        <v>1.0</v>
      </c>
      <c r="H2" s="7">
        <v>1.0</v>
      </c>
      <c r="I2" s="7">
        <v>35000.0</v>
      </c>
      <c r="J2" s="7">
        <v>2.0</v>
      </c>
      <c r="K2" s="7">
        <v>75000.0</v>
      </c>
    </row>
    <row r="3" ht="22.5" customHeight="1">
      <c r="A3" s="6">
        <v>46280.655895821765</v>
      </c>
      <c r="B3" s="7" t="s">
        <v>17</v>
      </c>
      <c r="C3" s="7" t="s">
        <v>13</v>
      </c>
      <c r="D3" s="7">
        <v>1.0</v>
      </c>
      <c r="E3" s="7" t="s">
        <v>18</v>
      </c>
      <c r="F3" s="8">
        <v>3.38</v>
      </c>
      <c r="G3" s="7">
        <v>1.0</v>
      </c>
      <c r="H3" s="7">
        <v>1.0</v>
      </c>
      <c r="I3" s="7">
        <v>50000.0</v>
      </c>
      <c r="J3" s="7">
        <v>2.0</v>
      </c>
      <c r="K3" s="7">
        <v>40000.0</v>
      </c>
    </row>
    <row r="4" ht="22.5" customHeight="1">
      <c r="A4" s="6">
        <v>46280.65672332176</v>
      </c>
      <c r="B4" s="7" t="s">
        <v>19</v>
      </c>
      <c r="C4" s="7" t="s">
        <v>13</v>
      </c>
      <c r="D4" s="7">
        <v>1.0</v>
      </c>
      <c r="E4" s="7">
        <v>2.0</v>
      </c>
      <c r="F4" s="8">
        <v>3.79</v>
      </c>
      <c r="G4" s="7">
        <v>1.0</v>
      </c>
      <c r="H4" s="7">
        <v>2.0</v>
      </c>
      <c r="I4" s="7">
        <v>45000.0</v>
      </c>
      <c r="J4" s="7">
        <v>2.0</v>
      </c>
      <c r="K4" s="7">
        <v>45000.0</v>
      </c>
    </row>
    <row r="5" ht="22.5" customHeight="1">
      <c r="A5" s="6">
        <v>46280.65739190972</v>
      </c>
      <c r="B5" s="7" t="s">
        <v>20</v>
      </c>
      <c r="C5" s="7" t="s">
        <v>13</v>
      </c>
      <c r="D5" s="7">
        <v>2.0</v>
      </c>
      <c r="E5" s="7">
        <v>1.0</v>
      </c>
      <c r="F5" s="8">
        <v>3.5</v>
      </c>
      <c r="G5" s="7">
        <v>0.0</v>
      </c>
      <c r="H5" s="7">
        <v>1.0</v>
      </c>
      <c r="I5" s="7">
        <v>50000.0</v>
      </c>
      <c r="J5" s="7">
        <v>2.0</v>
      </c>
      <c r="K5" s="7">
        <v>160000.0</v>
      </c>
    </row>
    <row r="6" ht="22.5" customHeight="1">
      <c r="A6" s="6">
        <v>46280.65880892361</v>
      </c>
      <c r="B6" s="7" t="s">
        <v>21</v>
      </c>
      <c r="C6" s="7" t="s">
        <v>13</v>
      </c>
      <c r="D6" s="7">
        <v>3.0</v>
      </c>
      <c r="E6" s="7">
        <v>2.0</v>
      </c>
      <c r="F6" s="8">
        <v>3.41</v>
      </c>
      <c r="G6" s="7">
        <v>1.0</v>
      </c>
      <c r="H6" s="7">
        <v>2.0</v>
      </c>
      <c r="I6" s="7">
        <v>40000.0</v>
      </c>
      <c r="J6" s="7">
        <v>2.0</v>
      </c>
      <c r="K6" s="7">
        <v>250000.0</v>
      </c>
    </row>
    <row r="7" ht="22.5" customHeight="1">
      <c r="A7" s="6">
        <v>46280.660383703704</v>
      </c>
      <c r="B7" s="7" t="s">
        <v>22</v>
      </c>
      <c r="C7" s="7" t="s">
        <v>23</v>
      </c>
      <c r="D7" s="7">
        <v>3.0</v>
      </c>
      <c r="E7" s="7">
        <v>1.0</v>
      </c>
      <c r="F7" s="8">
        <v>3.43</v>
      </c>
      <c r="G7" s="7">
        <v>0.0</v>
      </c>
      <c r="H7" s="7">
        <v>1.0</v>
      </c>
      <c r="I7" s="7">
        <v>100000.0</v>
      </c>
      <c r="J7" s="7">
        <v>4.0</v>
      </c>
      <c r="K7" s="7">
        <v>1500000.0</v>
      </c>
    </row>
    <row r="8" ht="22.5" customHeight="1">
      <c r="A8" s="6">
        <v>46280.66178172454</v>
      </c>
      <c r="B8" s="7" t="s">
        <v>24</v>
      </c>
      <c r="C8" s="7" t="s">
        <v>13</v>
      </c>
      <c r="D8" s="7">
        <v>3.0</v>
      </c>
      <c r="E8" s="7" t="s">
        <v>25</v>
      </c>
      <c r="F8" s="8">
        <v>2.47</v>
      </c>
      <c r="G8" s="7">
        <v>1.0</v>
      </c>
      <c r="H8" s="7">
        <v>1.0</v>
      </c>
      <c r="I8" s="7">
        <v>100000.0</v>
      </c>
      <c r="J8" s="7">
        <v>2.0</v>
      </c>
      <c r="K8" s="7">
        <v>350000.0</v>
      </c>
    </row>
    <row r="9" ht="22.5" customHeight="1">
      <c r="A9" s="6">
        <v>46280.661930902774</v>
      </c>
      <c r="B9" s="7" t="s">
        <v>26</v>
      </c>
      <c r="C9" s="7" t="s">
        <v>23</v>
      </c>
      <c r="D9" s="7">
        <v>2.0</v>
      </c>
      <c r="E9" s="7">
        <v>1.0</v>
      </c>
      <c r="F9" s="8">
        <v>3.16</v>
      </c>
      <c r="G9" s="7">
        <v>0.0</v>
      </c>
      <c r="H9" s="7">
        <v>1.0</v>
      </c>
      <c r="I9" s="7">
        <v>50000.0</v>
      </c>
      <c r="J9" s="7">
        <v>2.0</v>
      </c>
      <c r="K9" s="7">
        <v>150000.0</v>
      </c>
    </row>
    <row r="10" ht="22.5" customHeight="1">
      <c r="A10" s="6">
        <v>46280.66438008102</v>
      </c>
      <c r="B10" s="7" t="s">
        <v>27</v>
      </c>
      <c r="C10" s="7" t="s">
        <v>13</v>
      </c>
      <c r="D10" s="7">
        <v>2.0</v>
      </c>
      <c r="E10" s="7">
        <v>2.0</v>
      </c>
      <c r="F10" s="8">
        <v>3.62</v>
      </c>
      <c r="G10" s="7">
        <v>1.0</v>
      </c>
      <c r="H10" s="7">
        <v>1.0</v>
      </c>
      <c r="I10" s="7">
        <v>40000.0</v>
      </c>
      <c r="J10" s="7">
        <v>2.0</v>
      </c>
      <c r="K10" s="7">
        <v>50000.0</v>
      </c>
    </row>
    <row r="11" ht="22.5" customHeight="1">
      <c r="A11" s="6">
        <v>46280.66444791667</v>
      </c>
      <c r="B11" s="7" t="s">
        <v>28</v>
      </c>
      <c r="C11" s="7" t="s">
        <v>23</v>
      </c>
      <c r="D11" s="7">
        <v>3.0</v>
      </c>
      <c r="E11" s="7">
        <v>2.0</v>
      </c>
      <c r="F11" s="8">
        <v>3.5</v>
      </c>
      <c r="G11" s="7">
        <v>1.0</v>
      </c>
      <c r="H11" s="7">
        <v>1.0</v>
      </c>
      <c r="I11" s="7">
        <v>120000.0</v>
      </c>
      <c r="J11" s="7">
        <v>2.0</v>
      </c>
      <c r="K11" s="7">
        <v>200000.0</v>
      </c>
    </row>
    <row r="12" ht="22.5" customHeight="1">
      <c r="A12" s="6">
        <v>46280.67643710648</v>
      </c>
      <c r="B12" s="7" t="s">
        <v>29</v>
      </c>
      <c r="C12" s="7" t="s">
        <v>23</v>
      </c>
      <c r="D12" s="7">
        <v>3.0</v>
      </c>
      <c r="E12" s="7" t="s">
        <v>30</v>
      </c>
      <c r="F12" s="8">
        <v>3.32</v>
      </c>
      <c r="G12" s="7">
        <v>1.0</v>
      </c>
      <c r="H12" s="7">
        <v>2.0</v>
      </c>
      <c r="I12" s="7">
        <v>100000.0</v>
      </c>
      <c r="J12" s="7">
        <v>1.0</v>
      </c>
      <c r="K12" s="7">
        <v>50000.0</v>
      </c>
    </row>
    <row r="13" ht="22.5" customHeight="1">
      <c r="A13" s="6">
        <v>46280.68707665509</v>
      </c>
      <c r="B13" s="7" t="s">
        <v>31</v>
      </c>
      <c r="C13" s="7" t="s">
        <v>23</v>
      </c>
      <c r="D13" s="7">
        <v>3.0</v>
      </c>
      <c r="E13" s="7" t="s">
        <v>32</v>
      </c>
      <c r="F13" s="8">
        <v>3.52</v>
      </c>
      <c r="G13" s="7">
        <v>1.0</v>
      </c>
      <c r="H13" s="7">
        <v>2.0</v>
      </c>
      <c r="I13" s="7">
        <v>100000.0</v>
      </c>
      <c r="J13" s="7">
        <v>3.0</v>
      </c>
      <c r="K13" s="7">
        <v>550000.0</v>
      </c>
    </row>
    <row r="14" ht="22.5" customHeight="1">
      <c r="A14" s="6">
        <v>46280.69672730324</v>
      </c>
      <c r="B14" s="7" t="s">
        <v>33</v>
      </c>
      <c r="C14" s="7" t="s">
        <v>23</v>
      </c>
      <c r="D14" s="7">
        <v>2.0</v>
      </c>
      <c r="E14" s="7">
        <v>2.0</v>
      </c>
      <c r="F14" s="8">
        <v>4.0</v>
      </c>
      <c r="G14" s="7">
        <v>1.0</v>
      </c>
      <c r="H14" s="7">
        <v>1.0</v>
      </c>
      <c r="I14" s="7">
        <v>100000.0</v>
      </c>
      <c r="J14" s="7">
        <v>1.0</v>
      </c>
      <c r="K14" s="7">
        <v>60000.0</v>
      </c>
    </row>
    <row r="15" ht="22.5" customHeight="1">
      <c r="A15" s="6">
        <v>46280.69796186342</v>
      </c>
      <c r="B15" s="7" t="s">
        <v>34</v>
      </c>
      <c r="C15" s="7" t="s">
        <v>23</v>
      </c>
      <c r="D15" s="7">
        <v>2.0</v>
      </c>
      <c r="E15" s="7">
        <v>2.0</v>
      </c>
      <c r="F15" s="8">
        <v>3.68</v>
      </c>
      <c r="G15" s="7">
        <v>0.0</v>
      </c>
      <c r="H15" s="7">
        <v>1.0</v>
      </c>
      <c r="I15" s="7">
        <v>45000.0</v>
      </c>
      <c r="J15" s="7">
        <v>3.0</v>
      </c>
      <c r="K15" s="7">
        <v>352000.0</v>
      </c>
    </row>
    <row r="16" ht="22.5" customHeight="1">
      <c r="A16" s="6">
        <v>46280.7121815162</v>
      </c>
      <c r="B16" s="7" t="s">
        <v>35</v>
      </c>
      <c r="C16" s="7" t="s">
        <v>13</v>
      </c>
      <c r="D16" s="7">
        <v>1.0</v>
      </c>
      <c r="E16" s="7" t="s">
        <v>36</v>
      </c>
      <c r="F16" s="7" t="s">
        <v>37</v>
      </c>
      <c r="G16" s="7">
        <v>1.0</v>
      </c>
      <c r="H16" s="7">
        <v>2.0</v>
      </c>
      <c r="I16" s="7">
        <v>45000.0</v>
      </c>
      <c r="J16" s="7">
        <v>2.0</v>
      </c>
      <c r="K16" s="7">
        <v>120000.0</v>
      </c>
    </row>
    <row r="17" ht="22.5" customHeight="1">
      <c r="A17" s="6">
        <v>46280.7123618287</v>
      </c>
      <c r="B17" s="7" t="s">
        <v>38</v>
      </c>
      <c r="C17" s="7" t="s">
        <v>13</v>
      </c>
      <c r="D17" s="7">
        <v>1.0</v>
      </c>
      <c r="E17" s="7">
        <v>2.0</v>
      </c>
      <c r="F17" s="8">
        <v>3.41</v>
      </c>
      <c r="G17" s="7">
        <v>0.0</v>
      </c>
      <c r="H17" s="7">
        <v>1.0</v>
      </c>
      <c r="I17" s="7">
        <v>100000.0</v>
      </c>
      <c r="J17" s="7">
        <v>2.0</v>
      </c>
      <c r="K17" s="7">
        <v>50000.0</v>
      </c>
    </row>
    <row r="18" ht="22.5" customHeight="1">
      <c r="A18" s="6">
        <v>46280.7554130787</v>
      </c>
      <c r="B18" s="7" t="s">
        <v>39</v>
      </c>
      <c r="C18" s="7" t="s">
        <v>23</v>
      </c>
      <c r="D18" s="7">
        <v>3.0</v>
      </c>
      <c r="E18" s="7">
        <v>3.0</v>
      </c>
      <c r="F18" s="8">
        <v>3.76</v>
      </c>
      <c r="G18" s="7">
        <v>1.0</v>
      </c>
      <c r="H18" s="7">
        <v>1.0</v>
      </c>
      <c r="I18" s="7">
        <v>80000.0</v>
      </c>
      <c r="J18" s="7">
        <v>1.0</v>
      </c>
      <c r="K18" s="7">
        <v>0.0</v>
      </c>
    </row>
    <row r="19" ht="22.5" customHeight="1">
      <c r="A19" s="6">
        <v>46280.7568344676</v>
      </c>
      <c r="B19" s="7" t="s">
        <v>40</v>
      </c>
      <c r="C19" s="7" t="s">
        <v>23</v>
      </c>
      <c r="D19" s="7">
        <v>3.0</v>
      </c>
      <c r="E19" s="7">
        <v>2.0</v>
      </c>
      <c r="F19" s="8">
        <v>3.32</v>
      </c>
      <c r="G19" s="7">
        <v>1.0</v>
      </c>
      <c r="H19" s="7">
        <v>1.0</v>
      </c>
      <c r="I19" s="7">
        <v>10000.0</v>
      </c>
      <c r="J19" s="7">
        <v>2.0</v>
      </c>
      <c r="K19" s="7">
        <v>100000.0</v>
      </c>
    </row>
    <row r="20" ht="22.5" customHeight="1">
      <c r="A20" s="6">
        <v>46280.76119346065</v>
      </c>
      <c r="B20" s="7" t="s">
        <v>41</v>
      </c>
      <c r="C20" s="7" t="s">
        <v>23</v>
      </c>
      <c r="D20" s="7">
        <v>3.0</v>
      </c>
      <c r="E20" s="7">
        <v>3.0</v>
      </c>
      <c r="F20" s="8">
        <v>3.11</v>
      </c>
      <c r="G20" s="7">
        <v>1.0</v>
      </c>
      <c r="H20" s="7">
        <v>1.0</v>
      </c>
      <c r="I20" s="7">
        <v>60000.0</v>
      </c>
      <c r="J20" s="7">
        <v>2.0</v>
      </c>
      <c r="K20" s="7">
        <v>200000.0</v>
      </c>
    </row>
    <row r="21" ht="22.5" customHeight="1">
      <c r="A21" s="6">
        <v>46280.774867685184</v>
      </c>
      <c r="B21" s="7" t="s">
        <v>42</v>
      </c>
      <c r="C21" s="7" t="s">
        <v>23</v>
      </c>
      <c r="D21" s="7">
        <v>1.0</v>
      </c>
      <c r="E21" s="7">
        <v>2.0</v>
      </c>
      <c r="F21" s="8">
        <v>4.0</v>
      </c>
      <c r="G21" s="7">
        <v>1.0</v>
      </c>
      <c r="H21" s="7">
        <v>1.0</v>
      </c>
      <c r="I21" s="7">
        <v>60000.0</v>
      </c>
      <c r="J21" s="7">
        <v>2.0</v>
      </c>
      <c r="K21" s="7">
        <v>70000.0</v>
      </c>
    </row>
    <row r="22" ht="22.5" customHeight="1">
      <c r="A22" s="6">
        <v>46280.85148033565</v>
      </c>
      <c r="B22" s="7" t="s">
        <v>43</v>
      </c>
      <c r="C22" s="7" t="s">
        <v>23</v>
      </c>
      <c r="D22" s="7">
        <v>3.0</v>
      </c>
      <c r="E22" s="7" t="s">
        <v>44</v>
      </c>
      <c r="F22" s="7" t="s">
        <v>45</v>
      </c>
      <c r="G22" s="7">
        <v>1.0</v>
      </c>
      <c r="H22" s="7">
        <v>2.0</v>
      </c>
      <c r="I22" s="7">
        <v>50000.0</v>
      </c>
      <c r="J22" s="7">
        <v>3.0</v>
      </c>
      <c r="K22" s="7">
        <v>300000.0</v>
      </c>
    </row>
    <row r="23" ht="22.5" customHeight="1">
      <c r="A23" s="6">
        <v>46280.87266898148</v>
      </c>
      <c r="B23" s="7" t="s">
        <v>46</v>
      </c>
      <c r="C23" s="7" t="s">
        <v>13</v>
      </c>
      <c r="D23" s="7">
        <v>3.0</v>
      </c>
      <c r="E23" s="7">
        <v>2.0</v>
      </c>
      <c r="F23" s="7" t="s">
        <v>47</v>
      </c>
      <c r="G23" s="7">
        <v>1.0</v>
      </c>
      <c r="H23" s="7">
        <v>1.0</v>
      </c>
      <c r="I23" s="7">
        <v>100000.0</v>
      </c>
      <c r="J23" s="7">
        <v>2.0</v>
      </c>
      <c r="K23" s="7">
        <v>100000.0</v>
      </c>
    </row>
    <row r="24" ht="22.5" customHeight="1">
      <c r="A24" s="6">
        <v>46281.03539697916</v>
      </c>
      <c r="B24" s="7" t="s">
        <v>48</v>
      </c>
      <c r="C24" s="7" t="s">
        <v>13</v>
      </c>
      <c r="D24" s="7">
        <v>2.0</v>
      </c>
      <c r="E24" s="7">
        <v>3.0</v>
      </c>
      <c r="F24" s="8">
        <v>3.67</v>
      </c>
      <c r="G24" s="7">
        <v>1.0</v>
      </c>
      <c r="H24" s="7">
        <v>1.0</v>
      </c>
      <c r="I24" s="7">
        <v>100000.0</v>
      </c>
      <c r="J24" s="7">
        <v>2.0</v>
      </c>
      <c r="K24" s="7">
        <v>100000.0</v>
      </c>
    </row>
    <row r="25" ht="22.5" customHeight="1">
      <c r="A25" s="6">
        <v>46281.41131403935</v>
      </c>
      <c r="B25" s="7" t="s">
        <v>49</v>
      </c>
      <c r="C25" s="7" t="s">
        <v>23</v>
      </c>
      <c r="D25" s="7">
        <v>3.0</v>
      </c>
      <c r="E25" s="7">
        <v>3.0</v>
      </c>
      <c r="F25" s="8">
        <v>5.0</v>
      </c>
      <c r="G25" s="7">
        <v>1.0</v>
      </c>
      <c r="H25" s="7">
        <v>1.0</v>
      </c>
      <c r="I25" s="7">
        <v>100000.0</v>
      </c>
      <c r="J25" s="7">
        <v>3.0</v>
      </c>
      <c r="K25" s="7">
        <v>500000.0</v>
      </c>
    </row>
    <row r="26" ht="22.5" customHeight="1">
      <c r="A26" s="6">
        <v>46281.41132925926</v>
      </c>
      <c r="B26" s="7" t="s">
        <v>50</v>
      </c>
      <c r="C26" s="7" t="s">
        <v>13</v>
      </c>
      <c r="D26" s="7">
        <v>2.0</v>
      </c>
      <c r="E26" s="7">
        <v>1.0</v>
      </c>
      <c r="F26" s="8">
        <v>3.0</v>
      </c>
      <c r="G26" s="7">
        <v>0.0</v>
      </c>
      <c r="H26" s="7">
        <v>1.0</v>
      </c>
      <c r="I26" s="7">
        <v>100000.0</v>
      </c>
      <c r="J26" s="7">
        <v>4.0</v>
      </c>
      <c r="K26" s="7">
        <v>400000.0</v>
      </c>
    </row>
    <row r="27" ht="22.5" customHeight="1">
      <c r="A27" s="6">
        <v>46281.411457951384</v>
      </c>
      <c r="B27" s="7" t="s">
        <v>51</v>
      </c>
      <c r="C27" s="7" t="s">
        <v>13</v>
      </c>
      <c r="D27" s="7">
        <v>2.0</v>
      </c>
      <c r="E27" s="7" t="s">
        <v>44</v>
      </c>
      <c r="F27" s="8">
        <v>3.0</v>
      </c>
      <c r="G27" s="7">
        <v>1.0</v>
      </c>
      <c r="H27" s="7">
        <v>1.0</v>
      </c>
      <c r="I27" s="7">
        <v>50000.0</v>
      </c>
      <c r="J27" s="7">
        <v>2.0</v>
      </c>
      <c r="K27" s="7">
        <v>100000.0</v>
      </c>
    </row>
    <row r="28" ht="22.5" customHeight="1">
      <c r="A28" s="6">
        <v>46281.41238145833</v>
      </c>
      <c r="B28" s="7" t="s">
        <v>52</v>
      </c>
      <c r="C28" s="7" t="s">
        <v>23</v>
      </c>
      <c r="D28" s="7">
        <v>1.0</v>
      </c>
      <c r="E28" s="7">
        <v>2.0</v>
      </c>
      <c r="F28" s="7" t="s">
        <v>47</v>
      </c>
      <c r="G28" s="7">
        <v>1.0</v>
      </c>
      <c r="H28" s="7">
        <v>1.0</v>
      </c>
      <c r="I28" s="7">
        <v>80000.0</v>
      </c>
      <c r="J28" s="7">
        <v>3.0</v>
      </c>
      <c r="K28" s="7">
        <v>100000.0</v>
      </c>
    </row>
    <row r="29" ht="22.5" customHeight="1">
      <c r="A29" s="6">
        <v>46281.414039166666</v>
      </c>
      <c r="B29" s="7" t="s">
        <v>53</v>
      </c>
      <c r="C29" s="7" t="s">
        <v>23</v>
      </c>
      <c r="D29" s="7">
        <v>1.0</v>
      </c>
      <c r="E29" s="7">
        <v>2.0</v>
      </c>
      <c r="F29" s="8">
        <v>3.91</v>
      </c>
      <c r="G29" s="7">
        <v>1.0</v>
      </c>
      <c r="H29" s="7">
        <v>1.0</v>
      </c>
      <c r="I29" s="7">
        <v>75000.0</v>
      </c>
      <c r="J29" s="7">
        <v>3.0</v>
      </c>
      <c r="K29" s="7">
        <v>500000.0</v>
      </c>
    </row>
    <row r="30" ht="22.5" customHeight="1">
      <c r="A30" s="6">
        <v>46281.418139456015</v>
      </c>
      <c r="B30" s="7" t="s">
        <v>54</v>
      </c>
      <c r="C30" s="7" t="s">
        <v>23</v>
      </c>
      <c r="D30" s="7">
        <v>3.0</v>
      </c>
      <c r="E30" s="7" t="s">
        <v>44</v>
      </c>
      <c r="F30" s="8">
        <v>4.0</v>
      </c>
      <c r="G30" s="7">
        <v>1.0</v>
      </c>
      <c r="H30" s="7">
        <v>1.0</v>
      </c>
      <c r="I30" s="7">
        <v>100000.0</v>
      </c>
      <c r="J30" s="7">
        <v>1.0</v>
      </c>
      <c r="K30" s="7">
        <v>0.0</v>
      </c>
    </row>
    <row r="31" ht="22.5" customHeight="1">
      <c r="A31" s="6">
        <v>46281.421361886576</v>
      </c>
      <c r="B31" s="7" t="s">
        <v>55</v>
      </c>
      <c r="C31" s="7" t="s">
        <v>13</v>
      </c>
      <c r="D31" s="7">
        <v>2.0</v>
      </c>
      <c r="E31" s="7">
        <v>3.0</v>
      </c>
      <c r="F31" s="8">
        <v>3.41</v>
      </c>
      <c r="G31" s="7">
        <v>1.0</v>
      </c>
      <c r="H31" s="7">
        <v>1.0</v>
      </c>
      <c r="I31" s="7">
        <v>62000.0</v>
      </c>
      <c r="J31" s="7">
        <v>1.0</v>
      </c>
      <c r="K31" s="7">
        <v>3500.0</v>
      </c>
    </row>
    <row r="32" ht="22.5" customHeight="1">
      <c r="A32" s="6">
        <v>46281.42182065972</v>
      </c>
      <c r="B32" s="7" t="s">
        <v>56</v>
      </c>
      <c r="C32" s="7" t="s">
        <v>23</v>
      </c>
      <c r="D32" s="7">
        <v>3.0</v>
      </c>
      <c r="E32" s="7">
        <v>2.0</v>
      </c>
      <c r="F32" s="8">
        <v>3.0</v>
      </c>
      <c r="G32" s="7">
        <v>1.0</v>
      </c>
      <c r="H32" s="7">
        <v>1.0</v>
      </c>
      <c r="I32" s="7">
        <v>65.0</v>
      </c>
      <c r="J32" s="7">
        <v>1.0</v>
      </c>
      <c r="K32" s="7">
        <v>0.0</v>
      </c>
    </row>
    <row r="33" ht="22.5" customHeight="1">
      <c r="A33" s="6">
        <v>46281.433670949074</v>
      </c>
      <c r="B33" s="7" t="s">
        <v>57</v>
      </c>
      <c r="C33" s="7" t="s">
        <v>13</v>
      </c>
      <c r="D33" s="7">
        <v>3.0</v>
      </c>
      <c r="E33" s="7">
        <v>2.0</v>
      </c>
      <c r="F33" s="8">
        <v>3.34</v>
      </c>
      <c r="G33" s="7">
        <v>1.0</v>
      </c>
      <c r="H33" s="7">
        <v>2.0</v>
      </c>
      <c r="I33" s="7">
        <v>75000.0</v>
      </c>
      <c r="J33" s="7">
        <v>2.0</v>
      </c>
      <c r="K33" s="7">
        <v>75000.0</v>
      </c>
    </row>
    <row r="34" ht="22.5" customHeight="1">
      <c r="A34" s="6">
        <v>46281.45541174768</v>
      </c>
      <c r="B34" s="7" t="s">
        <v>58</v>
      </c>
      <c r="C34" s="7" t="s">
        <v>23</v>
      </c>
      <c r="D34" s="7">
        <v>3.0</v>
      </c>
      <c r="E34" s="7">
        <v>3.0</v>
      </c>
      <c r="F34" s="8">
        <v>3.4</v>
      </c>
      <c r="G34" s="7">
        <v>1.0</v>
      </c>
      <c r="H34" s="7">
        <v>2.0</v>
      </c>
      <c r="I34" s="7">
        <v>70000.0</v>
      </c>
      <c r="J34" s="7">
        <v>2.0</v>
      </c>
      <c r="K34" s="7">
        <v>60000.0</v>
      </c>
    </row>
    <row r="35" ht="22.5" customHeight="1">
      <c r="A35" s="6">
        <v>46281.49144716436</v>
      </c>
      <c r="B35" s="7" t="s">
        <v>59</v>
      </c>
      <c r="C35" s="7" t="s">
        <v>23</v>
      </c>
      <c r="D35" s="7">
        <v>1.0</v>
      </c>
      <c r="E35" s="7">
        <v>2.0</v>
      </c>
      <c r="F35" s="8">
        <v>3.8</v>
      </c>
      <c r="G35" s="7">
        <v>1.0</v>
      </c>
      <c r="H35" s="7">
        <v>1.0</v>
      </c>
      <c r="I35" s="7">
        <v>75000.0</v>
      </c>
      <c r="J35" s="7">
        <v>2.0</v>
      </c>
      <c r="K35" s="7">
        <v>60000.0</v>
      </c>
    </row>
    <row r="36" ht="22.5" customHeight="1">
      <c r="A36" s="6">
        <v>46281.75860043982</v>
      </c>
      <c r="B36" s="7" t="s">
        <v>60</v>
      </c>
      <c r="C36" s="7" t="s">
        <v>23</v>
      </c>
      <c r="D36" s="7">
        <v>3.0</v>
      </c>
      <c r="E36" s="7" t="s">
        <v>44</v>
      </c>
      <c r="F36" s="8">
        <v>2.87</v>
      </c>
      <c r="G36" s="7">
        <v>1.0</v>
      </c>
      <c r="H36" s="7">
        <v>1.0</v>
      </c>
      <c r="I36" s="7">
        <v>41668.0</v>
      </c>
      <c r="J36" s="7">
        <v>3.0</v>
      </c>
      <c r="K36" s="7">
        <v>250000.0</v>
      </c>
    </row>
    <row r="37" ht="22.5" customHeight="1">
      <c r="A37" s="6">
        <v>46282.536782083334</v>
      </c>
      <c r="B37" s="7" t="s">
        <v>61</v>
      </c>
      <c r="C37" s="7" t="s">
        <v>23</v>
      </c>
      <c r="D37" s="7">
        <v>3.0</v>
      </c>
      <c r="E37" s="7" t="s">
        <v>62</v>
      </c>
      <c r="F37" s="8">
        <v>2.86</v>
      </c>
      <c r="G37" s="7">
        <v>0.0</v>
      </c>
      <c r="H37" s="7">
        <v>1.0</v>
      </c>
      <c r="I37" s="7">
        <v>50000.0</v>
      </c>
      <c r="J37" s="7">
        <v>3.0</v>
      </c>
      <c r="K37" s="7">
        <v>300000.0</v>
      </c>
    </row>
    <row r="38" ht="22.5" customHeight="1">
      <c r="A38" s="6">
        <v>46282.609578981486</v>
      </c>
      <c r="B38" s="7" t="s">
        <v>63</v>
      </c>
      <c r="C38" s="7" t="s">
        <v>23</v>
      </c>
      <c r="D38" s="7">
        <v>3.0</v>
      </c>
      <c r="E38" s="7">
        <v>2.0</v>
      </c>
      <c r="F38" s="8">
        <v>3.95</v>
      </c>
      <c r="G38" s="7">
        <v>1.0</v>
      </c>
      <c r="H38" s="7">
        <v>1.0</v>
      </c>
      <c r="I38" s="7">
        <v>50000.0</v>
      </c>
      <c r="J38" s="7">
        <v>2.0</v>
      </c>
      <c r="K38" s="7">
        <v>100000.0</v>
      </c>
    </row>
    <row r="39" ht="22.5" customHeight="1">
      <c r="A39" s="6">
        <v>46282.76934554398</v>
      </c>
      <c r="B39" s="7" t="s">
        <v>64</v>
      </c>
      <c r="C39" s="7" t="s">
        <v>23</v>
      </c>
      <c r="D39" s="7">
        <v>2.0</v>
      </c>
      <c r="E39" s="7">
        <v>2.0</v>
      </c>
      <c r="F39" s="8">
        <v>3.41</v>
      </c>
      <c r="G39" s="7">
        <v>1.0</v>
      </c>
      <c r="H39" s="7">
        <v>2.0</v>
      </c>
      <c r="I39" s="7">
        <v>100000.0</v>
      </c>
      <c r="J39" s="7">
        <v>3.0</v>
      </c>
      <c r="K39" s="7">
        <v>250000.0</v>
      </c>
    </row>
    <row r="40" ht="22.5" customHeight="1">
      <c r="A40" s="6">
        <v>46282.8134971875</v>
      </c>
      <c r="B40" s="7" t="s">
        <v>65</v>
      </c>
      <c r="C40" s="7" t="s">
        <v>13</v>
      </c>
      <c r="D40" s="7">
        <v>2.0</v>
      </c>
      <c r="E40" s="7" t="s">
        <v>44</v>
      </c>
      <c r="F40" s="8">
        <v>3.2</v>
      </c>
      <c r="G40" s="7">
        <v>1.0</v>
      </c>
      <c r="H40" s="7">
        <v>2.0</v>
      </c>
      <c r="I40" s="7">
        <v>100000.0</v>
      </c>
      <c r="J40" s="7">
        <v>2.0</v>
      </c>
      <c r="K40" s="7">
        <v>60000.0</v>
      </c>
    </row>
    <row r="41" ht="22.5" customHeight="1">
      <c r="A41" s="6">
        <v>46282.81962361111</v>
      </c>
      <c r="B41" s="7" t="s">
        <v>66</v>
      </c>
      <c r="C41" s="7" t="s">
        <v>13</v>
      </c>
      <c r="D41" s="7">
        <v>2.0</v>
      </c>
      <c r="E41" s="7">
        <v>2.0</v>
      </c>
      <c r="F41" s="8">
        <v>3.35</v>
      </c>
      <c r="G41" s="7">
        <v>1.0</v>
      </c>
      <c r="H41" s="7">
        <v>1.0</v>
      </c>
      <c r="I41" s="7">
        <v>60000.0</v>
      </c>
      <c r="J41" s="7">
        <v>2.0</v>
      </c>
      <c r="K41" s="7">
        <v>120000.0</v>
      </c>
    </row>
    <row r="42" ht="22.5" customHeight="1">
      <c r="A42" s="6">
        <v>46283.62664472222</v>
      </c>
      <c r="B42" s="7" t="s">
        <v>67</v>
      </c>
      <c r="C42" s="7" t="s">
        <v>13</v>
      </c>
      <c r="D42" s="7">
        <v>2.0</v>
      </c>
      <c r="E42" s="7">
        <v>2.0</v>
      </c>
      <c r="F42" s="8">
        <v>3.53</v>
      </c>
      <c r="G42" s="7">
        <v>1.0</v>
      </c>
      <c r="H42" s="7">
        <v>1.0</v>
      </c>
      <c r="I42" s="7">
        <v>75000.0</v>
      </c>
      <c r="J42" s="7">
        <v>2.0</v>
      </c>
      <c r="K42" s="7">
        <v>120000.0</v>
      </c>
    </row>
    <row r="43" ht="22.5" customHeight="1">
      <c r="A43" s="6">
        <v>46283.63120210648</v>
      </c>
      <c r="B43" s="7" t="s">
        <v>68</v>
      </c>
      <c r="C43" s="7" t="s">
        <v>23</v>
      </c>
      <c r="D43" s="7">
        <v>3.0</v>
      </c>
      <c r="E43" s="7">
        <v>2.0</v>
      </c>
      <c r="F43" s="8">
        <v>3.5</v>
      </c>
      <c r="G43" s="7">
        <v>0.0</v>
      </c>
      <c r="H43" s="7">
        <v>2.0</v>
      </c>
      <c r="I43" s="7">
        <v>75000.0</v>
      </c>
      <c r="J43" s="7">
        <v>4.0</v>
      </c>
      <c r="K43" s="7">
        <v>300000.0</v>
      </c>
    </row>
    <row r="44" ht="22.5" customHeight="1">
      <c r="A44" s="6">
        <v>46283.65841447917</v>
      </c>
      <c r="B44" s="7" t="s">
        <v>69</v>
      </c>
      <c r="C44" s="7" t="s">
        <v>13</v>
      </c>
      <c r="D44" s="7">
        <v>3.0</v>
      </c>
      <c r="E44" s="7">
        <v>1.0</v>
      </c>
      <c r="F44" s="8">
        <v>2.88</v>
      </c>
      <c r="G44" s="7">
        <v>0.0</v>
      </c>
      <c r="H44" s="7">
        <v>1.0</v>
      </c>
      <c r="I44" s="7">
        <v>300000.0</v>
      </c>
      <c r="J44" s="7">
        <v>2.0</v>
      </c>
      <c r="K44" s="7">
        <v>1550000.0</v>
      </c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>
      <c r="A55" s="10"/>
      <c r="B55" s="10">
        <f>COUNTa(B2:B54)</f>
        <v>43</v>
      </c>
      <c r="C55" s="10"/>
      <c r="D55" s="10"/>
      <c r="E55" s="10"/>
      <c r="F55" s="10"/>
      <c r="G55" s="10"/>
      <c r="H55" s="10"/>
      <c r="I55" s="10"/>
      <c r="J55" s="10"/>
      <c r="K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</sheetData>
  <dataValidations>
    <dataValidation type="custom" allowBlank="1" showDropDown="1" sqref="F2:F4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>
        <v>35000.0</v>
      </c>
      <c r="C2" s="3">
        <f>VARP(B2:B44)</f>
        <v>1948124723</v>
      </c>
      <c r="D2" s="4" t="s">
        <v>9</v>
      </c>
      <c r="E2" s="5" t="str">
        <f>E9</f>
        <v/>
      </c>
    </row>
    <row r="3">
      <c r="B3" s="1">
        <v>50000.0</v>
      </c>
      <c r="C3" s="3">
        <f>AVERAGE(B2:B44)</f>
        <v>74854.25581</v>
      </c>
      <c r="D3" s="4" t="s">
        <v>14</v>
      </c>
      <c r="E3" s="5"/>
    </row>
    <row r="4">
      <c r="B4" s="1">
        <v>45000.0</v>
      </c>
      <c r="C4" s="5">
        <f>C3*0.25</f>
        <v>18713.56395</v>
      </c>
      <c r="D4" s="4" t="s">
        <v>15</v>
      </c>
      <c r="E4" s="5"/>
    </row>
    <row r="5">
      <c r="B5" s="1">
        <v>50000.0</v>
      </c>
      <c r="C5" s="5">
        <f>C4^2/4</f>
        <v>87549368.96</v>
      </c>
      <c r="D5" s="4" t="s">
        <v>16</v>
      </c>
      <c r="E5" s="5"/>
    </row>
    <row r="6">
      <c r="B6" s="1">
        <v>40000.0</v>
      </c>
      <c r="C6" s="9">
        <f>43*C2/((42)*C5+C2)</f>
        <v>14.89180644</v>
      </c>
      <c r="D6" s="5"/>
      <c r="E6" s="5"/>
    </row>
    <row r="7">
      <c r="B7" s="1">
        <v>100000.0</v>
      </c>
      <c r="C7" s="5"/>
      <c r="D7" s="5"/>
      <c r="E7" s="5"/>
    </row>
    <row r="8">
      <c r="B8" s="1">
        <v>100000.0</v>
      </c>
      <c r="C8" s="5"/>
      <c r="D8" s="5"/>
      <c r="E8" s="5"/>
    </row>
    <row r="9">
      <c r="B9" s="1">
        <v>50000.0</v>
      </c>
      <c r="C9" s="5"/>
      <c r="D9" s="5"/>
      <c r="E9" s="5"/>
    </row>
    <row r="10">
      <c r="B10" s="1">
        <v>40000.0</v>
      </c>
      <c r="C10" s="5"/>
      <c r="D10" s="5"/>
      <c r="E10" s="5"/>
    </row>
    <row r="11">
      <c r="B11" s="1">
        <v>120000.0</v>
      </c>
      <c r="C11" s="5"/>
      <c r="D11" s="5"/>
      <c r="E11" s="5"/>
    </row>
    <row r="12">
      <c r="B12" s="1">
        <v>100000.0</v>
      </c>
      <c r="C12" s="5"/>
      <c r="D12" s="5"/>
      <c r="E12" s="5"/>
    </row>
    <row r="13">
      <c r="B13" s="1">
        <v>100000.0</v>
      </c>
      <c r="C13" s="5"/>
      <c r="D13" s="5"/>
      <c r="E13" s="5"/>
    </row>
    <row r="14">
      <c r="B14" s="1">
        <v>100000.0</v>
      </c>
      <c r="C14" s="5"/>
      <c r="D14" s="5"/>
      <c r="E14" s="5"/>
    </row>
    <row r="15">
      <c r="B15" s="1">
        <v>45000.0</v>
      </c>
      <c r="C15" s="5"/>
      <c r="D15" s="5"/>
      <c r="E15" s="5"/>
    </row>
    <row r="16">
      <c r="B16" s="1">
        <v>45000.0</v>
      </c>
      <c r="C16" s="5"/>
      <c r="D16" s="5"/>
      <c r="E16" s="5"/>
    </row>
    <row r="17">
      <c r="B17" s="1">
        <v>100000.0</v>
      </c>
      <c r="C17" s="5"/>
      <c r="D17" s="5"/>
      <c r="E17" s="5"/>
    </row>
    <row r="18">
      <c r="B18" s="1">
        <v>80000.0</v>
      </c>
      <c r="C18" s="5"/>
      <c r="D18" s="5"/>
      <c r="E18" s="5"/>
    </row>
    <row r="19">
      <c r="B19" s="1">
        <v>10000.0</v>
      </c>
      <c r="C19" s="5"/>
      <c r="D19" s="5"/>
      <c r="E19" s="5"/>
    </row>
    <row r="20">
      <c r="B20" s="1">
        <v>60000.0</v>
      </c>
      <c r="C20" s="5"/>
      <c r="D20" s="5"/>
      <c r="E20" s="5"/>
    </row>
    <row r="21">
      <c r="B21" s="1">
        <v>60000.0</v>
      </c>
      <c r="C21" s="5"/>
      <c r="D21" s="5"/>
      <c r="E21" s="5"/>
    </row>
    <row r="22">
      <c r="B22" s="1">
        <v>50000.0</v>
      </c>
      <c r="C22" s="5"/>
      <c r="D22" s="5"/>
      <c r="E22" s="5"/>
    </row>
    <row r="23">
      <c r="B23" s="1">
        <v>100000.0</v>
      </c>
      <c r="C23" s="5"/>
      <c r="D23" s="5"/>
      <c r="E23" s="5"/>
    </row>
    <row r="24">
      <c r="B24" s="1">
        <v>100000.0</v>
      </c>
      <c r="C24" s="5"/>
      <c r="D24" s="5"/>
      <c r="E24" s="5"/>
    </row>
    <row r="25">
      <c r="B25" s="1">
        <v>100000.0</v>
      </c>
      <c r="C25" s="5"/>
      <c r="D25" s="5"/>
      <c r="E25" s="5"/>
    </row>
    <row r="26">
      <c r="B26" s="1">
        <v>100000.0</v>
      </c>
      <c r="C26" s="5"/>
      <c r="D26" s="5"/>
      <c r="E26" s="5"/>
    </row>
    <row r="27">
      <c r="B27" s="1">
        <v>50000.0</v>
      </c>
      <c r="C27" s="5"/>
      <c r="D27" s="5"/>
      <c r="E27" s="5"/>
    </row>
    <row r="28">
      <c r="B28" s="1">
        <v>80000.0</v>
      </c>
      <c r="C28" s="5"/>
      <c r="D28" s="5"/>
      <c r="E28" s="5"/>
    </row>
    <row r="29">
      <c r="B29" s="1">
        <v>75000.0</v>
      </c>
      <c r="C29" s="5"/>
      <c r="D29" s="5"/>
      <c r="E29" s="5"/>
    </row>
    <row r="30">
      <c r="B30" s="1">
        <v>100000.0</v>
      </c>
      <c r="C30" s="5"/>
      <c r="D30" s="5"/>
      <c r="E30" s="5"/>
    </row>
    <row r="31">
      <c r="B31" s="1">
        <v>62000.0</v>
      </c>
      <c r="C31" s="5"/>
      <c r="D31" s="5"/>
      <c r="E31" s="5"/>
    </row>
    <row r="32">
      <c r="B32" s="1">
        <v>65.0</v>
      </c>
      <c r="C32" s="5"/>
      <c r="D32" s="5"/>
      <c r="E32" s="5"/>
    </row>
    <row r="33">
      <c r="B33" s="1">
        <v>75000.0</v>
      </c>
      <c r="C33" s="5"/>
      <c r="D33" s="5"/>
      <c r="E33" s="5"/>
    </row>
    <row r="34">
      <c r="B34" s="1">
        <v>70000.0</v>
      </c>
      <c r="C34" s="5"/>
      <c r="D34" s="5"/>
      <c r="E34" s="5"/>
    </row>
    <row r="35">
      <c r="B35" s="1">
        <v>75000.0</v>
      </c>
      <c r="C35" s="5"/>
      <c r="D35" s="5"/>
      <c r="E35" s="5"/>
    </row>
    <row r="36">
      <c r="B36" s="1">
        <v>41668.0</v>
      </c>
      <c r="C36" s="5"/>
      <c r="D36" s="5"/>
      <c r="E36" s="5"/>
    </row>
    <row r="37">
      <c r="B37" s="1">
        <v>50000.0</v>
      </c>
      <c r="C37" s="5"/>
      <c r="D37" s="5"/>
      <c r="E37" s="5"/>
    </row>
    <row r="38">
      <c r="B38" s="1">
        <v>50000.0</v>
      </c>
      <c r="C38" s="5"/>
      <c r="D38" s="5"/>
      <c r="E38" s="5"/>
    </row>
    <row r="39">
      <c r="B39" s="1">
        <v>100000.0</v>
      </c>
      <c r="C39" s="5"/>
      <c r="D39" s="5"/>
      <c r="E39" s="5"/>
    </row>
    <row r="40">
      <c r="B40" s="1">
        <v>100000.0</v>
      </c>
      <c r="C40" s="5"/>
      <c r="D40" s="5"/>
      <c r="E40" s="5"/>
    </row>
    <row r="41">
      <c r="B41" s="1">
        <v>60000.0</v>
      </c>
      <c r="C41" s="5"/>
      <c r="D41" s="5"/>
      <c r="E41" s="5"/>
    </row>
    <row r="42">
      <c r="B42" s="1">
        <v>75000.0</v>
      </c>
      <c r="C42" s="5"/>
      <c r="D42" s="5"/>
      <c r="E42" s="5"/>
    </row>
    <row r="43">
      <c r="B43" s="1">
        <v>75000.0</v>
      </c>
      <c r="C43" s="5"/>
      <c r="D43" s="5"/>
      <c r="E43" s="5"/>
    </row>
    <row r="44">
      <c r="B44" s="1">
        <v>300000.0</v>
      </c>
      <c r="C44" s="5"/>
      <c r="D44" s="5"/>
      <c r="E44" s="5"/>
    </row>
  </sheetData>
  <drawing r:id="rId1"/>
  <tableParts count="1">
    <tablePart r:id="rId3"/>
  </tableParts>
</worksheet>
</file>